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3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DATA/TA_Lagi/Files/"/>
    </mc:Choice>
  </mc:AlternateContent>
  <xr:revisionPtr revIDLastSave="0" documentId="13_ncr:1_{A79157BB-D01D-AE4E-B03B-614E2102E3D6}" xr6:coauthVersionLast="46" xr6:coauthVersionMax="46" xr10:uidLastSave="{00000000-0000-0000-0000-000000000000}"/>
  <bookViews>
    <workbookView xWindow="4500" yWindow="2400" windowWidth="28040" windowHeight="16940" xr2:uid="{9977FD81-D45E-1F40-A1DB-EB4B2933EC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8" i="1" l="1"/>
  <c r="F14" i="1"/>
  <c r="F9" i="1"/>
  <c r="F10" i="1"/>
  <c r="F11" i="1"/>
  <c r="F12" i="1"/>
  <c r="F13" i="1"/>
  <c r="F6" i="1"/>
  <c r="F7" i="1"/>
  <c r="F5" i="1"/>
  <c r="F15" i="1" l="1"/>
</calcChain>
</file>

<file path=xl/sharedStrings.xml><?xml version="1.0" encoding="utf-8"?>
<sst xmlns="http://schemas.openxmlformats.org/spreadsheetml/2006/main" count="10" uniqueCount="8">
  <si>
    <t>Coordinate to Distancer Converter</t>
  </si>
  <si>
    <t>No.</t>
  </si>
  <si>
    <t>Lon</t>
  </si>
  <si>
    <t>Lat</t>
  </si>
  <si>
    <t>Coordinate from Hardware</t>
  </si>
  <si>
    <t>Actual Coordinate</t>
  </si>
  <si>
    <t>Rata-rata</t>
  </si>
  <si>
    <t>Distance 
(meter)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</si>
</sst>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0000"/>
  </numFmts>
  <fonts count="2" x14ac:knownFonts="1">
    <font>
      <sz val="12"/>
      <color theme="1"/>
      <name val="Calibri"/>
      <family val="2"/>
      <scheme val="minor"/>
    </font>
    <font>
      <b/>
      <sz val="13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68" fontId="0" fillId="0" borderId="0" xfId="0" applyNumberFormat="1" applyAlignment="1">
      <alignment horizontal="right" vertical="center"/>
    </xf>
    <xf numFmtId="2" fontId="0" fillId="0" borderId="0" xfId="0" applyNumberFormat="1" applyAlignment="1">
      <alignment horizontal="right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0E9CE-6A95-1D49-9DC8-3B043AC15673}">
  <dimension ref="A1:G15"/>
  <sheetViews>
    <sheetView tabSelected="1" zoomScale="190" zoomScaleNormal="190" workbookViewId="0">
      <selection activeCell="F10" sqref="F10"/>
    </sheetView>
  </sheetViews>
  <sheetFormatPr baseColWidth="10" defaultRowHeight="16" x14ac:dyDescent="0.2"/>
  <cols>
    <col min="1" max="1" width="4" bestFit="1" customWidth="1"/>
    <col min="2" max="5" width="12.83203125" customWidth="1"/>
    <col min="6" max="6" width="8.83203125" customWidth="1"/>
    <col min="7" max="7" width="10.83203125" customWidth="1"/>
  </cols>
  <sheetData>
    <row r="1" spans="1:7" x14ac:dyDescent="0.2">
      <c r="A1" s="3" t="s">
        <v>0</v>
      </c>
      <c r="B1" s="3"/>
      <c r="C1" s="3"/>
      <c r="D1" s="3"/>
      <c r="E1" s="3"/>
      <c r="F1" s="3"/>
      <c r="G1" s="2"/>
    </row>
    <row r="2" spans="1:7" x14ac:dyDescent="0.2">
      <c r="A2" s="3"/>
      <c r="B2" s="3"/>
      <c r="C2" s="3"/>
      <c r="D2" s="3"/>
      <c r="E2" s="3"/>
      <c r="F2" s="3"/>
    </row>
    <row r="3" spans="1:7" x14ac:dyDescent="0.2">
      <c r="A3" s="5" t="s">
        <v>1</v>
      </c>
      <c r="B3" s="6" t="s">
        <v>4</v>
      </c>
      <c r="C3" s="6"/>
      <c r="D3" s="6" t="s">
        <v>5</v>
      </c>
      <c r="E3" s="6"/>
      <c r="F3" s="7" t="s">
        <v>7</v>
      </c>
    </row>
    <row r="4" spans="1:7" x14ac:dyDescent="0.2">
      <c r="A4" s="5"/>
      <c r="B4" s="8" t="s">
        <v>2</v>
      </c>
      <c r="C4" s="8" t="s">
        <v>3</v>
      </c>
      <c r="D4" s="8" t="s">
        <v>2</v>
      </c>
      <c r="E4" s="8" t="s">
        <v>3</v>
      </c>
      <c r="F4" s="7"/>
    </row>
    <row r="5" spans="1:7" ht="17" x14ac:dyDescent="0.2">
      <c r="A5" s="4">
        <v>1</v>
      </c>
      <c r="B5" s="9">
        <v>101.363788</v>
      </c>
      <c r="C5" s="9">
        <v>0.47113699999999997</v>
      </c>
      <c r="D5" s="9">
        <v>101.36378999999999</v>
      </c>
      <c r="E5" s="9">
        <v>0.471132</v>
      </c>
      <c r="F5" s="10">
        <f>2*63781370*ASIN(SQRT((SIN((E5*(3.14159/180)-C5*(3.14159/180))/2))^2+COS(E5*(3.14159/180))*COS(C5*(3.14159/180))*SIN(((D5*(3.14159/180)-B5*(3.14159/180))/2))^2))</f>
        <v>5.9947050215116482</v>
      </c>
      <c r="G5" s="11"/>
    </row>
    <row r="6" spans="1:7" ht="17" x14ac:dyDescent="0.2">
      <c r="A6" s="4">
        <v>2</v>
      </c>
      <c r="B6" s="9">
        <v>101.363795</v>
      </c>
      <c r="C6" s="9">
        <v>0.471132</v>
      </c>
      <c r="D6" s="9">
        <v>101.36378999999999</v>
      </c>
      <c r="E6" s="9">
        <v>0.471132</v>
      </c>
      <c r="F6" s="10">
        <f t="shared" ref="F6:F14" si="0">2*63781370*ASIN(SQRT((SIN((E6*(3.14159/180)-C6*(3.14159/180))/2))^2+COS(E6*(3.14159/180))*COS(C6*(3.14159/180))*SIN(((D6*(3.14159/180)-B6*(3.14159/180))/2))^2))</f>
        <v>5.5657816768230592</v>
      </c>
      <c r="G6" s="11"/>
    </row>
    <row r="7" spans="1:7" x14ac:dyDescent="0.2">
      <c r="A7" s="4">
        <v>3</v>
      </c>
      <c r="B7" s="9">
        <v>101.363805</v>
      </c>
      <c r="C7" s="9">
        <v>0.47117500000000001</v>
      </c>
      <c r="D7" s="9">
        <v>101.36378999999999</v>
      </c>
      <c r="E7" s="9">
        <v>0.471132</v>
      </c>
      <c r="F7" s="10">
        <f t="shared" si="0"/>
        <v>50.695992207302041</v>
      </c>
    </row>
    <row r="8" spans="1:7" x14ac:dyDescent="0.2">
      <c r="A8" s="4">
        <v>4</v>
      </c>
      <c r="B8" s="9">
        <v>101.36379700000001</v>
      </c>
      <c r="C8" s="9">
        <v>0.47116999999999998</v>
      </c>
      <c r="D8" s="9">
        <v>101.36378999999999</v>
      </c>
      <c r="E8" s="9">
        <v>0.471132</v>
      </c>
      <c r="F8" s="10">
        <f t="shared" si="0"/>
        <v>43.013052706600561</v>
      </c>
    </row>
    <row r="9" spans="1:7" x14ac:dyDescent="0.2">
      <c r="A9" s="4">
        <v>5</v>
      </c>
      <c r="B9" s="9">
        <v>101.410629</v>
      </c>
      <c r="C9" s="9">
        <v>1.6665749999999999</v>
      </c>
      <c r="D9" s="9">
        <v>101.410616</v>
      </c>
      <c r="E9" s="9">
        <v>1.6665719999999999</v>
      </c>
      <c r="F9" s="10">
        <f t="shared" si="0"/>
        <v>14.84589530307063</v>
      </c>
    </row>
    <row r="10" spans="1:7" x14ac:dyDescent="0.2">
      <c r="A10" s="4">
        <v>6</v>
      </c>
      <c r="B10" s="9">
        <v>101.410599</v>
      </c>
      <c r="C10" s="9">
        <v>1.6665829999999999</v>
      </c>
      <c r="D10" s="9">
        <v>101.410616</v>
      </c>
      <c r="E10" s="9">
        <v>1.6665719999999999</v>
      </c>
      <c r="F10" s="10">
        <f t="shared" si="0"/>
        <v>22.533739503772594</v>
      </c>
    </row>
    <row r="11" spans="1:7" x14ac:dyDescent="0.2">
      <c r="A11" s="4">
        <v>7</v>
      </c>
      <c r="B11" s="9">
        <v>101.41061999999999</v>
      </c>
      <c r="C11" s="9">
        <v>1.666569</v>
      </c>
      <c r="D11" s="9">
        <v>101.410616</v>
      </c>
      <c r="E11" s="9">
        <v>1.6665719999999999</v>
      </c>
      <c r="F11" s="10">
        <f t="shared" si="0"/>
        <v>5.564463130087443</v>
      </c>
    </row>
    <row r="12" spans="1:7" x14ac:dyDescent="0.2">
      <c r="A12" s="4">
        <v>8</v>
      </c>
      <c r="B12" s="9">
        <v>101.413016</v>
      </c>
      <c r="C12" s="9">
        <v>1.6721760000000001</v>
      </c>
      <c r="D12" s="9">
        <v>101.413009</v>
      </c>
      <c r="E12" s="9">
        <v>1.6721699999999999</v>
      </c>
      <c r="F12" s="10">
        <f t="shared" si="0"/>
        <v>10.260622008626314</v>
      </c>
    </row>
    <row r="13" spans="1:7" x14ac:dyDescent="0.2">
      <c r="A13" s="4">
        <v>9</v>
      </c>
      <c r="B13" s="9">
        <v>101.413011</v>
      </c>
      <c r="C13" s="9">
        <v>1.672166</v>
      </c>
      <c r="D13" s="9">
        <v>101.413009</v>
      </c>
      <c r="E13" s="9">
        <v>1.6721699999999999</v>
      </c>
      <c r="F13" s="10">
        <f t="shared" si="0"/>
        <v>4.977930833244943</v>
      </c>
    </row>
    <row r="14" spans="1:7" x14ac:dyDescent="0.2">
      <c r="A14" s="4">
        <v>10</v>
      </c>
      <c r="B14" s="9">
        <v>101.413023</v>
      </c>
      <c r="C14" s="9">
        <v>1.672177</v>
      </c>
      <c r="D14" s="9">
        <v>101.413009</v>
      </c>
      <c r="E14" s="9">
        <v>1.6721699999999999</v>
      </c>
      <c r="F14" s="10">
        <f t="shared" si="0"/>
        <v>17.41830585803374</v>
      </c>
    </row>
    <row r="15" spans="1:7" x14ac:dyDescent="0.2">
      <c r="A15" s="1" t="s">
        <v>6</v>
      </c>
      <c r="B15" s="1"/>
      <c r="C15" s="1"/>
      <c r="D15" s="1"/>
      <c r="E15" s="1"/>
      <c r="F15" s="10">
        <f>AVERAGE(F5:F14)</f>
        <v>18.087048824907296</v>
      </c>
    </row>
  </sheetData>
  <mergeCells count="7">
    <mergeCell ref="A15:E15"/>
    <mergeCell ref="A3:A4"/>
    <mergeCell ref="B3:C3"/>
    <mergeCell ref="D3:E3"/>
    <mergeCell ref="A2:F2"/>
    <mergeCell ref="A1:F1"/>
    <mergeCell ref="F3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2021-03-25T08:35:51Z</dcterms:created>
  <dcterms:modified xsi:type="dcterms:W3CDTF">2021-03-25T10:16:50Z</dcterms:modified>
</cp:coreProperties>
</file>